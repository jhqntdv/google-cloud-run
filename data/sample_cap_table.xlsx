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<sst xmlns="http://schemas.openxmlformats.org/spreadsheetml/2006/main" count="29" uniqueCount="29">
  <si>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class</t>
  </si>
  <si>
    <t>shares</t>
  </si>
  <si>
    <t>is_time</t>
  </si>
  <si>
    <t>strike</t>
  </si>
  <si>
    <t>v_cnt</t>
  </si>
  <si>
    <t>vstart</t>
  </si>
  <si>
    <t>vmid</t>
  </si>
  <si>
    <t>vend</t>
  </si>
  <si>
    <t>vstart_perc</t>
  </si>
  <si>
    <t>vmid_perc</t>
  </si>
  <si>
    <t>vend_perc</t>
  </si>
  <si>
    <t>groups</t>
  </si>
  <si>
    <t>is_cliff</t>
  </si>
  <si>
    <t>Note</t>
  </si>
  <si>
    <t>Common (Type of Time-Based)</t>
  </si>
  <si>
    <t>Security A</t>
  </si>
  <si>
    <t>Security B</t>
  </si>
  <si>
    <t>Security C</t>
  </si>
  <si>
    <t>Security D</t>
  </si>
  <si>
    <t>Security E</t>
  </si>
  <si>
    <t>Security F</t>
  </si>
  <si>
    <t>Security G</t>
  </si>
  <si>
    <t>Security H</t>
  </si>
  <si>
    <t>Security I</t>
  </si>
  <si>
    <t>Security J</t>
  </si>
  <si>
    <t>Security K</t>
  </si>
  <si>
    <t>Security L</t>
  </si>
  <si>
    <t>Security M</t>
  </si>
  <si>
    <t>Security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</si>
</sst>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0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6" displayName="Cap_Table" name="Cap_Table" id="1">
  <tableColumns count="14">
    <tableColumn name="class" id="1"/>
    <tableColumn name="shares" id="2"/>
    <tableColumn name="is_time" id="3"/>
    <tableColumn name="strike" id="4"/>
    <tableColumn name="v_cnt" id="5"/>
    <tableColumn name="vstart" id="6"/>
    <tableColumn name="vmid" id="7"/>
    <tableColumn name="vend" id="8"/>
    <tableColumn name="vstart_perc" id="9"/>
    <tableColumn name="vmid_perc" id="10"/>
    <tableColumn name="vend_perc" id="11"/>
    <tableColumn name="groups" id="12"/>
    <tableColumn name="is_cliff" id="13"/>
    <tableColumn name="Note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14.0"/>
    <col customWidth="1" min="3" max="3" width="14.75"/>
    <col customWidth="1" min="4" max="4" width="13.13"/>
    <col customWidth="1" min="5" max="5" width="13.25"/>
    <col customWidth="1" min="6" max="6" width="13.38"/>
    <col customWidth="1" min="7" max="8" width="12.75"/>
    <col customWidth="1" min="9" max="9" width="18.38"/>
    <col customWidth="1" min="10" max="10" width="17.63"/>
    <col customWidth="1" min="11" max="11" width="17.5"/>
    <col customWidth="1" min="12" max="12" width="14.25"/>
    <col customWidth="1" min="13" max="13" width="13.88"/>
    <col customWidth="1" min="14" max="14" width="10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3">
        <v>10000.0</v>
      </c>
      <c r="C2" s="3">
        <v>1.0</v>
      </c>
      <c r="D2" s="3">
        <v>0.0</v>
      </c>
      <c r="E2" s="3">
        <f t="shared" ref="E2:E16" si="1">IF(C2=1,0,COUNTIF(F2:H2,"&lt;&gt;-1"))</f>
        <v>0</v>
      </c>
      <c r="F2" s="3">
        <v>-1.0</v>
      </c>
      <c r="G2" s="3">
        <v>-1.0</v>
      </c>
      <c r="H2" s="3">
        <v>-1.0</v>
      </c>
      <c r="I2" s="4">
        <v>-1.0</v>
      </c>
      <c r="J2" s="4">
        <v>-1.0</v>
      </c>
      <c r="K2" s="4">
        <v>-1.0</v>
      </c>
      <c r="L2" s="3">
        <v>1.0</v>
      </c>
      <c r="M2" s="3">
        <v>0.0</v>
      </c>
      <c r="N2" s="5" t="str">
        <f t="shared" ref="N2:N16" si="2">A2&amp;" - "&amp;IF(C2=1,"Time-Based Vesting",IF(M2=1,"Performance-Based Vesting (Cliff)","Performance-Based Vesting (Linear)"))&amp;IF(E2&gt;0,", "&amp;E2&amp;" Tranche(s) Vesting "&amp;IF(F2&gt;0,"@ "&amp;F2&amp;"x","")&amp;IF(G2&gt;0," / "&amp;G2&amp;"x","")&amp;IF(H2&gt;0," / "&amp;H2&amp;"x","")&amp;", with vesting schedule of "&amp;IF(I2&gt;=0,ROUND(I2*100,0)&amp;"%", "")&amp;IF(J2&gt;=0," / "&amp;ROUND(J2*100,0)&amp;"%", "")&amp;IF(K2&gt;=0," / "&amp;ROUND(K2*100,0)&amp;"%", ""),"")</f>
        <v>Common (Type of Time-Based) - Time-Based Vesting</v>
      </c>
    </row>
    <row r="3" ht="22.5" customHeight="1">
      <c r="A3" s="2" t="s">
        <v>15</v>
      </c>
      <c r="B3" s="3">
        <v>100.0</v>
      </c>
      <c r="C3" s="3">
        <v>1.0</v>
      </c>
      <c r="D3" s="3">
        <v>10.0</v>
      </c>
      <c r="E3" s="3">
        <f t="shared" si="1"/>
        <v>0</v>
      </c>
      <c r="F3" s="3">
        <v>-1.0</v>
      </c>
      <c r="G3" s="3">
        <v>-1.0</v>
      </c>
      <c r="H3" s="3">
        <v>-1.0</v>
      </c>
      <c r="I3" s="4">
        <v>-1.0</v>
      </c>
      <c r="J3" s="4">
        <v>-1.0</v>
      </c>
      <c r="K3" s="4">
        <v>-1.0</v>
      </c>
      <c r="L3" s="3">
        <v>2.0</v>
      </c>
      <c r="M3" s="3">
        <v>0.0</v>
      </c>
      <c r="N3" s="5" t="str">
        <f t="shared" si="2"/>
        <v>Security A - Time-Based Vesting</v>
      </c>
    </row>
    <row r="4" ht="22.5" customHeight="1">
      <c r="A4" s="2" t="s">
        <v>16</v>
      </c>
      <c r="B4" s="3">
        <v>100.0</v>
      </c>
      <c r="C4" s="3">
        <v>0.0</v>
      </c>
      <c r="D4" s="3">
        <v>10.0</v>
      </c>
      <c r="E4" s="3">
        <f t="shared" si="1"/>
        <v>2</v>
      </c>
      <c r="F4" s="3">
        <v>20.0</v>
      </c>
      <c r="G4" s="3">
        <v>-1.0</v>
      </c>
      <c r="H4" s="3">
        <v>30.0</v>
      </c>
      <c r="I4" s="4">
        <v>0.5</v>
      </c>
      <c r="J4" s="4">
        <v>-1.0</v>
      </c>
      <c r="K4" s="4">
        <v>1.0</v>
      </c>
      <c r="L4" s="3">
        <v>2.0</v>
      </c>
      <c r="M4" s="3">
        <v>1.0</v>
      </c>
      <c r="N4" s="5" t="str">
        <f t="shared" si="2"/>
        <v>Security B - Performance-Based Vesting (Cliff), 2 Tranche(s) Vesting @ 20x / 30x, with vesting schedule of 50% / 100%</v>
      </c>
    </row>
    <row r="5" ht="22.5" customHeight="1">
      <c r="A5" s="2" t="s">
        <v>17</v>
      </c>
      <c r="B5" s="3">
        <v>100.0</v>
      </c>
      <c r="C5" s="3">
        <v>0.0</v>
      </c>
      <c r="D5" s="3">
        <v>10.0</v>
      </c>
      <c r="E5" s="3">
        <f t="shared" si="1"/>
        <v>2</v>
      </c>
      <c r="F5" s="3">
        <v>20.0</v>
      </c>
      <c r="G5" s="3">
        <v>-1.0</v>
      </c>
      <c r="H5" s="3">
        <v>30.0</v>
      </c>
      <c r="I5" s="4">
        <v>0.5</v>
      </c>
      <c r="J5" s="4">
        <v>-1.0</v>
      </c>
      <c r="K5" s="4">
        <v>1.0</v>
      </c>
      <c r="L5" s="3">
        <v>2.0</v>
      </c>
      <c r="M5" s="3">
        <v>0.0</v>
      </c>
      <c r="N5" s="5" t="str">
        <f t="shared" si="2"/>
        <v>Security C - Performance-Based Vesting (Linear), 2 Tranche(s) Vesting @ 20x / 30x, with vesting schedule of 50% / 100%</v>
      </c>
    </row>
    <row r="6" ht="22.5" customHeight="1">
      <c r="A6" s="2" t="s">
        <v>18</v>
      </c>
      <c r="B6" s="3">
        <v>100.0</v>
      </c>
      <c r="C6" s="3">
        <v>1.0</v>
      </c>
      <c r="D6" s="3">
        <v>25.0</v>
      </c>
      <c r="E6" s="3">
        <f t="shared" si="1"/>
        <v>0</v>
      </c>
      <c r="F6" s="3">
        <v>-1.0</v>
      </c>
      <c r="G6" s="3">
        <v>-1.0</v>
      </c>
      <c r="H6" s="3">
        <v>-1.0</v>
      </c>
      <c r="I6" s="4">
        <v>-1.0</v>
      </c>
      <c r="J6" s="4">
        <v>-1.0</v>
      </c>
      <c r="K6" s="4">
        <v>-1.0</v>
      </c>
      <c r="L6" s="3">
        <v>3.0</v>
      </c>
      <c r="M6" s="3">
        <v>0.0</v>
      </c>
      <c r="N6" s="5" t="str">
        <f t="shared" si="2"/>
        <v>Security D - Time-Based Vesting</v>
      </c>
    </row>
    <row r="7" ht="22.5" customHeight="1">
      <c r="A7" s="2" t="s">
        <v>19</v>
      </c>
      <c r="B7" s="3">
        <v>100.0</v>
      </c>
      <c r="C7" s="3">
        <v>0.0</v>
      </c>
      <c r="D7" s="3">
        <v>25.0</v>
      </c>
      <c r="E7" s="3">
        <f t="shared" si="1"/>
        <v>3</v>
      </c>
      <c r="F7" s="3">
        <v>30.0</v>
      </c>
      <c r="G7" s="3">
        <v>40.0</v>
      </c>
      <c r="H7" s="3">
        <v>50.0</v>
      </c>
      <c r="I7" s="4">
        <v>0.5</v>
      </c>
      <c r="J7" s="4">
        <v>0.75</v>
      </c>
      <c r="K7" s="4">
        <v>1.0</v>
      </c>
      <c r="L7" s="3">
        <v>3.0</v>
      </c>
      <c r="M7" s="3">
        <v>1.0</v>
      </c>
      <c r="N7" s="5" t="str">
        <f t="shared" si="2"/>
        <v>Security E - Performance-Based Vesting (Cliff), 3 Tranche(s) Vesting @ 30x / 40x / 50x, with vesting schedule of 50% / 75% / 100%</v>
      </c>
    </row>
    <row r="8" ht="22.5" customHeight="1">
      <c r="A8" s="2" t="s">
        <v>20</v>
      </c>
      <c r="B8" s="3">
        <v>100.0</v>
      </c>
      <c r="C8" s="3">
        <v>0.0</v>
      </c>
      <c r="D8" s="3">
        <v>25.0</v>
      </c>
      <c r="E8" s="3">
        <f t="shared" si="1"/>
        <v>3</v>
      </c>
      <c r="F8" s="3">
        <v>30.0</v>
      </c>
      <c r="G8" s="3">
        <v>40.0</v>
      </c>
      <c r="H8" s="3">
        <v>50.0</v>
      </c>
      <c r="I8" s="4">
        <v>0.5</v>
      </c>
      <c r="J8" s="4">
        <v>0.75</v>
      </c>
      <c r="K8" s="4">
        <v>1.0</v>
      </c>
      <c r="L8" s="3">
        <v>3.0</v>
      </c>
      <c r="M8" s="3">
        <v>0.0</v>
      </c>
      <c r="N8" s="5" t="str">
        <f t="shared" si="2"/>
        <v>Security F - Performance-Based Vesting (Linear), 3 Tranche(s) Vesting @ 30x / 40x / 50x, with vesting schedule of 50% / 75% / 100%</v>
      </c>
    </row>
    <row r="9" ht="22.5" customHeight="1">
      <c r="A9" s="2" t="s">
        <v>21</v>
      </c>
      <c r="B9" s="3">
        <v>100.0</v>
      </c>
      <c r="C9" s="3">
        <v>0.0</v>
      </c>
      <c r="D9" s="3">
        <v>25.0</v>
      </c>
      <c r="E9" s="3">
        <f t="shared" si="1"/>
        <v>1</v>
      </c>
      <c r="F9" s="3">
        <v>30.0</v>
      </c>
      <c r="G9" s="3">
        <v>-1.0</v>
      </c>
      <c r="H9" s="3">
        <v>-1.0</v>
      </c>
      <c r="I9" s="4">
        <v>1.0</v>
      </c>
      <c r="J9" s="4">
        <v>-1.0</v>
      </c>
      <c r="K9" s="4">
        <v>-1.0</v>
      </c>
      <c r="L9" s="3">
        <v>3.0</v>
      </c>
      <c r="M9" s="3">
        <v>1.0</v>
      </c>
      <c r="N9" s="5" t="str">
        <f t="shared" si="2"/>
        <v>Security G - Performance-Based Vesting (Cliff), 1 Tranche(s) Vesting @ 30x, with vesting schedule of 100%</v>
      </c>
    </row>
    <row r="10" ht="22.5" customHeight="1">
      <c r="A10" s="2" t="s">
        <v>22</v>
      </c>
      <c r="B10" s="3">
        <v>100.0</v>
      </c>
      <c r="C10" s="3">
        <v>0.0</v>
      </c>
      <c r="D10" s="3">
        <v>25.0</v>
      </c>
      <c r="E10" s="3">
        <f t="shared" si="1"/>
        <v>1</v>
      </c>
      <c r="F10" s="3">
        <v>40.0</v>
      </c>
      <c r="G10" s="3">
        <v>-1.0</v>
      </c>
      <c r="H10" s="3">
        <v>-1.0</v>
      </c>
      <c r="I10" s="4">
        <v>1.0</v>
      </c>
      <c r="J10" s="4">
        <v>-1.0</v>
      </c>
      <c r="K10" s="4">
        <v>-1.0</v>
      </c>
      <c r="L10" s="3">
        <v>3.0</v>
      </c>
      <c r="M10" s="3">
        <v>1.0</v>
      </c>
      <c r="N10" s="5" t="str">
        <f t="shared" si="2"/>
        <v>Security H - Performance-Based Vesting (Cliff), 1 Tranche(s) Vesting @ 40x, with vesting schedule of 100%</v>
      </c>
    </row>
    <row r="11" ht="22.5" customHeight="1">
      <c r="A11" s="2" t="s">
        <v>23</v>
      </c>
      <c r="B11" s="3">
        <v>100.0</v>
      </c>
      <c r="C11" s="3">
        <v>0.0</v>
      </c>
      <c r="D11" s="3">
        <v>0.0</v>
      </c>
      <c r="E11" s="3">
        <f t="shared" si="1"/>
        <v>1</v>
      </c>
      <c r="F11" s="3">
        <v>30.0</v>
      </c>
      <c r="G11" s="3">
        <v>-1.0</v>
      </c>
      <c r="H11" s="3">
        <v>-1.0</v>
      </c>
      <c r="I11" s="4">
        <v>1.0</v>
      </c>
      <c r="J11" s="4">
        <v>-1.0</v>
      </c>
      <c r="K11" s="4">
        <v>-1.0</v>
      </c>
      <c r="L11" s="3">
        <v>4.0</v>
      </c>
      <c r="M11" s="3">
        <v>1.0</v>
      </c>
      <c r="N11" s="5" t="str">
        <f t="shared" si="2"/>
        <v>Security I - Performance-Based Vesting (Cliff), 1 Tranche(s) Vesting @ 30x, with vesting schedule of 100%</v>
      </c>
    </row>
    <row r="12" ht="22.5" customHeight="1">
      <c r="A12" s="2" t="s">
        <v>24</v>
      </c>
      <c r="B12" s="3">
        <v>100.0</v>
      </c>
      <c r="C12" s="3">
        <v>0.0</v>
      </c>
      <c r="D12" s="3">
        <v>0.0</v>
      </c>
      <c r="E12" s="3">
        <f t="shared" si="1"/>
        <v>1</v>
      </c>
      <c r="F12" s="3">
        <v>40.0</v>
      </c>
      <c r="G12" s="3">
        <v>-1.0</v>
      </c>
      <c r="H12" s="3">
        <v>-1.0</v>
      </c>
      <c r="I12" s="4">
        <v>1.0</v>
      </c>
      <c r="J12" s="4">
        <v>-1.0</v>
      </c>
      <c r="K12" s="4">
        <v>-1.0</v>
      </c>
      <c r="L12" s="3">
        <v>4.0</v>
      </c>
      <c r="M12" s="3">
        <v>1.0</v>
      </c>
      <c r="N12" s="5" t="str">
        <f t="shared" si="2"/>
        <v>Security J - Performance-Based Vesting (Cliff), 1 Tranche(s) Vesting @ 40x, with vesting schedule of 100%</v>
      </c>
    </row>
    <row r="13" ht="22.5" customHeight="1">
      <c r="A13" s="2" t="s">
        <v>25</v>
      </c>
      <c r="B13" s="3">
        <v>100.0</v>
      </c>
      <c r="C13" s="3">
        <v>0.0</v>
      </c>
      <c r="D13" s="3">
        <v>0.0</v>
      </c>
      <c r="E13" s="3">
        <f t="shared" si="1"/>
        <v>2</v>
      </c>
      <c r="F13" s="3">
        <v>30.0</v>
      </c>
      <c r="G13" s="3">
        <v>-1.0</v>
      </c>
      <c r="H13" s="3">
        <v>40.0</v>
      </c>
      <c r="I13" s="4">
        <v>0.0</v>
      </c>
      <c r="J13" s="4">
        <v>-1.0</v>
      </c>
      <c r="K13" s="4">
        <v>1.0</v>
      </c>
      <c r="L13" s="3">
        <v>4.0</v>
      </c>
      <c r="M13" s="3">
        <v>1.0</v>
      </c>
      <c r="N13" s="5" t="str">
        <f t="shared" si="2"/>
        <v>Security K - Performance-Based Vesting (Cliff), 2 Tranche(s) Vesting @ 30x / 40x, with vesting schedule of 0% / 100%</v>
      </c>
    </row>
    <row r="14" ht="22.5" customHeight="1">
      <c r="A14" s="2" t="s">
        <v>26</v>
      </c>
      <c r="B14" s="3">
        <v>100.0</v>
      </c>
      <c r="C14" s="3">
        <v>0.0</v>
      </c>
      <c r="D14" s="3">
        <v>0.0</v>
      </c>
      <c r="E14" s="3">
        <f t="shared" si="1"/>
        <v>2</v>
      </c>
      <c r="F14" s="3">
        <v>30.0</v>
      </c>
      <c r="G14" s="3">
        <v>-1.0</v>
      </c>
      <c r="H14" s="3">
        <v>40.0</v>
      </c>
      <c r="I14" s="4">
        <v>0.0</v>
      </c>
      <c r="J14" s="4">
        <v>-1.0</v>
      </c>
      <c r="K14" s="4">
        <v>1.0</v>
      </c>
      <c r="L14" s="3">
        <v>4.0</v>
      </c>
      <c r="M14" s="3">
        <v>0.0</v>
      </c>
      <c r="N14" s="5" t="str">
        <f t="shared" si="2"/>
        <v>Security L - Performance-Based Vesting (Linear), 2 Tranche(s) Vesting @ 30x / 40x, with vesting schedule of 0% / 100%</v>
      </c>
    </row>
    <row r="15" ht="22.5" customHeight="1">
      <c r="A15" s="2" t="s">
        <v>27</v>
      </c>
      <c r="B15" s="3">
        <v>100.0</v>
      </c>
      <c r="C15" s="3">
        <v>0.0</v>
      </c>
      <c r="D15" s="3">
        <v>0.0</v>
      </c>
      <c r="E15" s="3">
        <f t="shared" si="1"/>
        <v>3</v>
      </c>
      <c r="F15" s="3">
        <v>10.0</v>
      </c>
      <c r="G15" s="3">
        <v>25.0</v>
      </c>
      <c r="H15" s="3">
        <v>40.0</v>
      </c>
      <c r="I15" s="4">
        <f t="shared" ref="I15:I16" si="3">1/3</f>
        <v>0.3333333333</v>
      </c>
      <c r="J15" s="4">
        <f t="shared" ref="J15:J16" si="4">2/3</f>
        <v>0.6666666667</v>
      </c>
      <c r="K15" s="4">
        <f t="shared" ref="K15:K16" si="5">1</f>
        <v>1</v>
      </c>
      <c r="L15" s="3">
        <v>5.0</v>
      </c>
      <c r="M15" s="3">
        <v>1.0</v>
      </c>
      <c r="N15" s="5" t="str">
        <f t="shared" si="2"/>
        <v>Security M - Performance-Based Vesting (Cliff), 3 Tranche(s) Vesting @ 10x / 25x / 40x, with vesting schedule of 33% / 67% / 100%</v>
      </c>
    </row>
    <row r="16" ht="22.5" customHeight="1">
      <c r="A16" s="2" t="s">
        <v>28</v>
      </c>
      <c r="B16" s="3">
        <v>100.0</v>
      </c>
      <c r="C16" s="3">
        <v>0.0</v>
      </c>
      <c r="D16" s="3">
        <v>0.0</v>
      </c>
      <c r="E16" s="3">
        <f t="shared" si="1"/>
        <v>3</v>
      </c>
      <c r="F16" s="3">
        <v>10.0</v>
      </c>
      <c r="G16" s="3">
        <v>25.0</v>
      </c>
      <c r="H16" s="3">
        <v>40.0</v>
      </c>
      <c r="I16" s="4">
        <f t="shared" si="3"/>
        <v>0.3333333333</v>
      </c>
      <c r="J16" s="4">
        <f t="shared" si="4"/>
        <v>0.6666666667</v>
      </c>
      <c r="K16" s="4">
        <f t="shared" si="5"/>
        <v>1</v>
      </c>
      <c r="L16" s="3">
        <v>5.0</v>
      </c>
      <c r="M16" s="3">
        <v>0.0</v>
      </c>
      <c r="N16" s="5" t="str">
        <f t="shared" si="2"/>
        <v>Security N - Performance-Based Vesting (Linear), 3 Tranche(s) Vesting @ 10x / 25x / 40x, with vesting schedule of 33% / 67% / 100%</v>
      </c>
    </row>
  </sheetData>
  <dataValidations>
    <dataValidation type="custom" allowBlank="1" showDropDown="1" sqref="B2:M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